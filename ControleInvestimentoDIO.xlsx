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cdf0dbc5b29a58/Documentos/"/>
    </mc:Choice>
  </mc:AlternateContent>
  <xr:revisionPtr revIDLastSave="24" documentId="8_{2191B7F4-51A2-4060-B232-BE92FE2FDE59}" xr6:coauthVersionLast="47" xr6:coauthVersionMax="47" xr10:uidLastSave="{E1270142-5AE1-495F-BE7D-845B7535B56D}"/>
  <bookViews>
    <workbookView xWindow="-120" yWindow="-120" windowWidth="20730" windowHeight="11160" tabRatio="493" xr2:uid="{24D5F68B-AB79-4708-8F9E-38C7534CC933}"/>
  </bookViews>
  <sheets>
    <sheet name="DIO_Calc_Invest" sheetId="1" r:id="rId1"/>
    <sheet name="tbl_apoio" sheetId="2" r:id="rId2"/>
  </sheets>
  <definedNames>
    <definedName name="aporte">DIO_Calc_Invest!$D$15</definedName>
    <definedName name="patrimonio">DIO_Calc_Invest!$D$18</definedName>
    <definedName name="qtd_anos">DIO_Calc_Invest!$D$16</definedName>
    <definedName name="rendimento_carteira">DIO_Calc_Invest!$D$11</definedName>
    <definedName name="salario">DIO_Calc_Invest!$D$10</definedName>
    <definedName name="sugestao_investimento">DIO_Calc_Invest!$D$12</definedName>
    <definedName name="taxa_mensal">DIO_Calc_Invest!$D$17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4" i="1"/>
  <c r="C35" i="1"/>
  <c r="C36" i="1"/>
  <c r="C37" i="1"/>
  <c r="C25" i="1"/>
  <c r="D25" i="1" s="1"/>
  <c r="C24" i="1"/>
  <c r="D24" i="1" s="1"/>
  <c r="A9" i="2"/>
  <c r="A8" i="2"/>
  <c r="A3" i="2"/>
  <c r="A7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C30" i="1"/>
  <c r="D12" i="1"/>
  <c r="D18" i="1"/>
  <c r="D19" i="1" s="1"/>
  <c r="C23" i="1"/>
  <c r="D23" i="1" s="1"/>
  <c r="C26" i="1"/>
  <c r="D26" i="1" s="1"/>
  <c r="C22" i="1"/>
  <c r="D22" i="1" s="1"/>
  <c r="C38" i="1" l="1"/>
  <c r="D38" i="1" s="1"/>
  <c r="D37" i="1"/>
  <c r="D35" i="1"/>
  <c r="D36" i="1"/>
  <c r="D34" i="1"/>
  <c r="H4" i="2"/>
  <c r="C39" i="1" l="1"/>
  <c r="D33" i="1"/>
  <c r="D39" i="1" s="1"/>
</calcChain>
</file>

<file path=xl/sharedStrings.xml><?xml version="1.0" encoding="utf-8"?>
<sst xmlns="http://schemas.openxmlformats.org/spreadsheetml/2006/main" count="72" uniqueCount="36">
  <si>
    <t>Quanto Investir por Mês?</t>
  </si>
  <si>
    <t>Patrimônio Acumulado?</t>
  </si>
  <si>
    <t>Dividendos Mensais?</t>
  </si>
  <si>
    <t>Investimento Mensal</t>
  </si>
  <si>
    <t>Taxa de Rendimento Mensal?</t>
  </si>
  <si>
    <t>Por Quantos Anos?</t>
  </si>
  <si>
    <t>Quanto em 2 anos?</t>
  </si>
  <si>
    <t>Quanto em 5 anos?</t>
  </si>
  <si>
    <t>Dividendos</t>
  </si>
  <si>
    <t>Configurações</t>
  </si>
  <si>
    <t>Rendimanto Carteira</t>
  </si>
  <si>
    <t>Salário</t>
  </si>
  <si>
    <t>Cenários</t>
  </si>
  <si>
    <t>Perfil</t>
  </si>
  <si>
    <t>Moderado</t>
  </si>
  <si>
    <t>VALOR A SER INVESTIDO PO MÊS</t>
  </si>
  <si>
    <t>PAPEL</t>
  </si>
  <si>
    <t>TIJOLO</t>
  </si>
  <si>
    <t>HÍBRIDOS</t>
  </si>
  <si>
    <t>FOFs</t>
  </si>
  <si>
    <t>DESENVOLVIMENTO</t>
  </si>
  <si>
    <t>HOTELARIAS</t>
  </si>
  <si>
    <t>Valores</t>
  </si>
  <si>
    <t>Percentual Sugerido</t>
  </si>
  <si>
    <t>Tipos de FII</t>
  </si>
  <si>
    <t>Conservador</t>
  </si>
  <si>
    <t>TOTAL</t>
  </si>
  <si>
    <t>Tipo de FII</t>
  </si>
  <si>
    <t>%</t>
  </si>
  <si>
    <t>Chave</t>
  </si>
  <si>
    <t>Agressivo</t>
  </si>
  <si>
    <t>Moderado-TIJOLO</t>
  </si>
  <si>
    <t>Sugestão de Investimento (30%)</t>
  </si>
  <si>
    <t>Quanto em 10 anos?</t>
  </si>
  <si>
    <t>Quanto em 20 anos?</t>
  </si>
  <si>
    <t>Quanto em 30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</si>
</sst>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&quot;R$&quot;\ #,##0.000;[Red]\-&quot;R$&quot;\ #,##0.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rgb="FF9C5700"/>
      <name val="Aptos Narrow"/>
      <family val="2"/>
      <scheme val="minor"/>
    </font>
    <font>
      <b/>
      <sz val="20"/>
      <color theme="0"/>
      <name val="Segoe UI Semibold"/>
      <family val="2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4" borderId="0" applyNumberFormat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Border="1"/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32" xfId="0" applyBorder="1"/>
    <xf numFmtId="0" fontId="0" fillId="0" borderId="32" xfId="0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164" fontId="9" fillId="0" borderId="24" xfId="1" applyNumberFormat="1" applyFont="1" applyBorder="1" applyAlignment="1">
      <alignment horizontal="center"/>
    </xf>
    <xf numFmtId="10" fontId="9" fillId="0" borderId="27" xfId="2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0" fontId="10" fillId="0" borderId="9" xfId="0" applyNumberFormat="1" applyFont="1" applyBorder="1" applyAlignment="1">
      <alignment horizontal="center"/>
    </xf>
    <xf numFmtId="10" fontId="10" fillId="0" borderId="9" xfId="0" applyNumberFormat="1" applyFont="1" applyBorder="1" applyAlignment="1">
      <alignment horizontal="center"/>
    </xf>
    <xf numFmtId="8" fontId="10" fillId="2" borderId="9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0" fontId="8" fillId="2" borderId="13" xfId="0" applyFont="1" applyFill="1" applyBorder="1" applyAlignment="1">
      <alignment horizontal="left" indent="3"/>
    </xf>
    <xf numFmtId="8" fontId="9" fillId="2" borderId="14" xfId="0" applyNumberFormat="1" applyFont="1" applyFill="1" applyBorder="1" applyAlignment="1">
      <alignment horizontal="center"/>
    </xf>
    <xf numFmtId="165" fontId="9" fillId="2" borderId="15" xfId="0" applyNumberFormat="1" applyFont="1" applyFill="1" applyBorder="1" applyAlignment="1">
      <alignment horizontal="center"/>
    </xf>
    <xf numFmtId="0" fontId="8" fillId="2" borderId="16" xfId="0" applyFont="1" applyFill="1" applyBorder="1" applyAlignment="1">
      <alignment horizontal="left" indent="3"/>
    </xf>
    <xf numFmtId="8" fontId="9" fillId="2" borderId="17" xfId="0" applyNumberFormat="1" applyFont="1" applyFill="1" applyBorder="1" applyAlignment="1">
      <alignment horizontal="center"/>
    </xf>
    <xf numFmtId="165" fontId="9" fillId="2" borderId="18" xfId="0" applyNumberFormat="1" applyFont="1" applyFill="1" applyBorder="1" applyAlignment="1">
      <alignment horizontal="center"/>
    </xf>
    <xf numFmtId="0" fontId="8" fillId="2" borderId="19" xfId="0" applyFont="1" applyFill="1" applyBorder="1" applyAlignment="1">
      <alignment horizontal="left" indent="3"/>
    </xf>
    <xf numFmtId="8" fontId="9" fillId="2" borderId="20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64" fontId="9" fillId="6" borderId="30" xfId="0" applyNumberFormat="1" applyFont="1" applyFill="1" applyBorder="1" applyAlignment="1">
      <alignment horizontal="center"/>
    </xf>
    <xf numFmtId="0" fontId="3" fillId="4" borderId="0" xfId="3"/>
    <xf numFmtId="9" fontId="0" fillId="0" borderId="0" xfId="2" applyFont="1"/>
    <xf numFmtId="9" fontId="3" fillId="4" borderId="0" xfId="2" applyFont="1" applyFill="1"/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indent="3"/>
    </xf>
    <xf numFmtId="0" fontId="11" fillId="2" borderId="11" xfId="0" applyFont="1" applyFill="1" applyBorder="1" applyAlignment="1">
      <alignment horizontal="left" indent="3"/>
    </xf>
    <xf numFmtId="0" fontId="8" fillId="6" borderId="22" xfId="0" applyFont="1" applyFill="1" applyBorder="1" applyAlignment="1">
      <alignment horizontal="left" indent="3"/>
    </xf>
    <xf numFmtId="0" fontId="8" fillId="6" borderId="23" xfId="0" applyFont="1" applyFill="1" applyBorder="1" applyAlignment="1">
      <alignment horizontal="left" indent="3"/>
    </xf>
    <xf numFmtId="0" fontId="8" fillId="6" borderId="25" xfId="0" applyFont="1" applyFill="1" applyBorder="1" applyAlignment="1">
      <alignment horizontal="left" indent="3"/>
    </xf>
    <xf numFmtId="0" fontId="8" fillId="6" borderId="26" xfId="0" applyFont="1" applyFill="1" applyBorder="1" applyAlignment="1">
      <alignment horizontal="left" indent="3"/>
    </xf>
    <xf numFmtId="0" fontId="8" fillId="6" borderId="28" xfId="0" applyFont="1" applyFill="1" applyBorder="1" applyAlignment="1">
      <alignment horizontal="left" indent="3"/>
    </xf>
    <xf numFmtId="0" fontId="8" fillId="6" borderId="29" xfId="0" applyFont="1" applyFill="1" applyBorder="1" applyAlignment="1">
      <alignment horizontal="left" indent="3"/>
    </xf>
    <xf numFmtId="0" fontId="6" fillId="3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indent="3"/>
    </xf>
    <xf numFmtId="0" fontId="8" fillId="6" borderId="4" xfId="0" applyFont="1" applyFill="1" applyBorder="1" applyAlignment="1">
      <alignment horizontal="left" indent="3"/>
    </xf>
    <xf numFmtId="0" fontId="8" fillId="6" borderId="8" xfId="0" applyFont="1" applyFill="1" applyBorder="1" applyAlignment="1">
      <alignment horizontal="left" indent="3"/>
    </xf>
    <xf numFmtId="0" fontId="8" fillId="6" borderId="5" xfId="0" applyFont="1" applyFill="1" applyBorder="1" applyAlignment="1">
      <alignment horizontal="left" indent="3"/>
    </xf>
    <xf numFmtId="0" fontId="11" fillId="2" borderId="8" xfId="0" applyFont="1" applyFill="1" applyBorder="1" applyAlignment="1">
      <alignment horizontal="left" indent="3"/>
    </xf>
    <xf numFmtId="0" fontId="11" fillId="2" borderId="5" xfId="0" applyFont="1" applyFill="1" applyBorder="1" applyAlignment="1">
      <alignment horizontal="left" indent="3"/>
    </xf>
    <xf numFmtId="0" fontId="12" fillId="8" borderId="1" xfId="0" applyFont="1" applyFill="1" applyBorder="1"/>
    <xf numFmtId="0" fontId="12" fillId="8" borderId="3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0" fillId="0" borderId="33" xfId="0" applyBorder="1"/>
    <xf numFmtId="9" fontId="0" fillId="0" borderId="34" xfId="0" applyNumberFormat="1" applyBorder="1" applyAlignment="1">
      <alignment horizontal="center"/>
    </xf>
    <xf numFmtId="0" fontId="0" fillId="0" borderId="35" xfId="0" applyBorder="1"/>
    <xf numFmtId="9" fontId="0" fillId="0" borderId="36" xfId="0" applyNumberFormat="1" applyBorder="1" applyAlignment="1">
      <alignment horizontal="center"/>
    </xf>
    <xf numFmtId="9" fontId="0" fillId="0" borderId="37" xfId="0" applyNumberFormat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9" xfId="0" applyBorder="1" applyAlignment="1">
      <alignment horizontal="center"/>
    </xf>
    <xf numFmtId="9" fontId="0" fillId="0" borderId="40" xfId="0" applyNumberFormat="1" applyBorder="1" applyAlignment="1">
      <alignment horizontal="center"/>
    </xf>
    <xf numFmtId="0" fontId="5" fillId="4" borderId="1" xfId="3" applyFont="1" applyBorder="1" applyAlignment="1">
      <alignment horizontal="left" vertical="center"/>
    </xf>
    <xf numFmtId="0" fontId="5" fillId="4" borderId="3" xfId="3" applyFont="1" applyBorder="1" applyAlignment="1">
      <alignment horizontal="center" vertical="center"/>
    </xf>
    <xf numFmtId="0" fontId="5" fillId="4" borderId="2" xfId="3" applyFont="1" applyBorder="1" applyAlignment="1">
      <alignment vertical="center"/>
    </xf>
    <xf numFmtId="0" fontId="1" fillId="6" borderId="33" xfId="0" applyFont="1" applyFill="1" applyBorder="1"/>
    <xf numFmtId="164" fontId="1" fillId="6" borderId="0" xfId="0" applyNumberFormat="1" applyFont="1" applyFill="1" applyBorder="1" applyAlignment="1">
      <alignment horizontal="center"/>
    </xf>
    <xf numFmtId="0" fontId="1" fillId="6" borderId="34" xfId="0" applyFont="1" applyFill="1" applyBorder="1"/>
    <xf numFmtId="0" fontId="0" fillId="0" borderId="34" xfId="0" applyBorder="1"/>
    <xf numFmtId="0" fontId="1" fillId="7" borderId="33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0" fontId="1" fillId="7" borderId="38" xfId="0" applyFont="1" applyFill="1" applyBorder="1" applyAlignment="1">
      <alignment horizontal="center"/>
    </xf>
    <xf numFmtId="164" fontId="1" fillId="7" borderId="40" xfId="0" applyNumberFormat="1" applyFont="1" applyFill="1" applyBorder="1" applyAlignment="1">
      <alignment horizontal="center"/>
    </xf>
    <xf numFmtId="9" fontId="1" fillId="7" borderId="39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DIO_Calc_Invest!$B$33:$B$38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DIO_Calc_Invest!$C$33:$C$38</c:f>
              <c:numCache>
                <c:formatCode>0%</c:formatCode>
                <c:ptCount val="6"/>
                <c:pt idx="0">
                  <c:v>0.4</c:v>
                </c:pt>
                <c:pt idx="1">
                  <c:v>0.3</c:v>
                </c:pt>
                <c:pt idx="2">
                  <c:v>0.1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F-463A-92A7-30937978B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39</xdr:row>
      <xdr:rowOff>61912</xdr:rowOff>
    </xdr:from>
    <xdr:to>
      <xdr:col>3</xdr:col>
      <xdr:colOff>1181100</xdr:colOff>
      <xdr:row>51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23015D-D0DB-AA9B-0AD3-3183ED69B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</xdr:colOff>
      <xdr:row>0</xdr:row>
      <xdr:rowOff>0</xdr:rowOff>
    </xdr:from>
    <xdr:to>
      <xdr:col>5</xdr:col>
      <xdr:colOff>0</xdr:colOff>
      <xdr:row>6</xdr:row>
      <xdr:rowOff>152400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D496A52B-556A-8D55-383B-2E5831E11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0"/>
          <a:ext cx="622935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4D2B-3D81-446A-B993-DA964C0FF44F}">
  <dimension ref="A8:F39"/>
  <sheetViews>
    <sheetView showGridLines="0" tabSelected="1" zoomScaleNormal="100" workbookViewId="0">
      <selection activeCell="B8" sqref="B8"/>
    </sheetView>
  </sheetViews>
  <sheetFormatPr defaultColWidth="0" defaultRowHeight="15" x14ac:dyDescent="0.25"/>
  <cols>
    <col min="1" max="1" width="3.85546875" customWidth="1"/>
    <col min="2" max="2" width="35.140625" customWidth="1"/>
    <col min="3" max="3" width="33.7109375" customWidth="1"/>
    <col min="4" max="4" width="18.140625" customWidth="1"/>
    <col min="5" max="5" width="3" customWidth="1"/>
    <col min="6" max="6" width="12.140625" hidden="1" customWidth="1"/>
    <col min="7" max="11" width="9.140625" hidden="1" customWidth="1"/>
    <col min="12" max="16384" width="9.140625" hidden="1"/>
  </cols>
  <sheetData>
    <row r="8" spans="2:4" ht="13.5" customHeight="1" thickBot="1" x14ac:dyDescent="0.3"/>
    <row r="9" spans="2:4" ht="25.5" customHeight="1" x14ac:dyDescent="0.25">
      <c r="B9" s="42" t="s">
        <v>9</v>
      </c>
      <c r="C9" s="43"/>
      <c r="D9" s="44"/>
    </row>
    <row r="10" spans="2:4" ht="16.5" customHeight="1" thickBot="1" x14ac:dyDescent="0.35">
      <c r="B10" s="35" t="s">
        <v>11</v>
      </c>
      <c r="C10" s="36"/>
      <c r="D10" s="11">
        <v>2300</v>
      </c>
    </row>
    <row r="11" spans="2:4" ht="16.5" customHeight="1" thickBot="1" x14ac:dyDescent="0.35">
      <c r="B11" s="37" t="s">
        <v>10</v>
      </c>
      <c r="C11" s="38"/>
      <c r="D11" s="12">
        <v>6.0000000000000001E-3</v>
      </c>
    </row>
    <row r="12" spans="2:4" ht="16.5" customHeight="1" thickBot="1" x14ac:dyDescent="0.35">
      <c r="B12" s="39" t="s">
        <v>32</v>
      </c>
      <c r="C12" s="40"/>
      <c r="D12" s="27">
        <f>salario*30%</f>
        <v>690</v>
      </c>
    </row>
    <row r="13" spans="2:4" ht="16.5" customHeight="1" thickBot="1" x14ac:dyDescent="0.3"/>
    <row r="14" spans="2:4" ht="25.5" customHeight="1" x14ac:dyDescent="0.25">
      <c r="B14" s="31" t="s">
        <v>3</v>
      </c>
      <c r="C14" s="32"/>
      <c r="D14" s="41"/>
    </row>
    <row r="15" spans="2:4" ht="17.25" x14ac:dyDescent="0.3">
      <c r="B15" s="45" t="s">
        <v>0</v>
      </c>
      <c r="C15" s="46"/>
      <c r="D15" s="13">
        <v>200</v>
      </c>
    </row>
    <row r="16" spans="2:4" ht="17.25" x14ac:dyDescent="0.3">
      <c r="B16" s="47" t="s">
        <v>5</v>
      </c>
      <c r="C16" s="48"/>
      <c r="D16" s="14">
        <v>5</v>
      </c>
    </row>
    <row r="17" spans="1:4" ht="17.25" x14ac:dyDescent="0.3">
      <c r="B17" s="47" t="s">
        <v>4</v>
      </c>
      <c r="C17" s="48"/>
      <c r="D17" s="15">
        <v>1.0789999999999999E-2</v>
      </c>
    </row>
    <row r="18" spans="1:4" ht="17.25" x14ac:dyDescent="0.3">
      <c r="B18" s="49" t="s">
        <v>1</v>
      </c>
      <c r="C18" s="50"/>
      <c r="D18" s="16">
        <f>FV(taxa_mensal,qtd_anos*12,aporte*-1)</f>
        <v>16755.382799697527</v>
      </c>
    </row>
    <row r="19" spans="1:4" ht="18" thickBot="1" x14ac:dyDescent="0.35">
      <c r="B19" s="33" t="s">
        <v>2</v>
      </c>
      <c r="C19" s="34"/>
      <c r="D19" s="17">
        <f>patrimonio*rendimento_carteira</f>
        <v>100.53229679818516</v>
      </c>
    </row>
    <row r="20" spans="1:4" ht="15.75" thickBot="1" x14ac:dyDescent="0.3"/>
    <row r="21" spans="1:4" ht="25.5" customHeight="1" x14ac:dyDescent="0.25">
      <c r="B21" s="31" t="s">
        <v>12</v>
      </c>
      <c r="C21" s="32"/>
      <c r="D21" s="10" t="s">
        <v>8</v>
      </c>
    </row>
    <row r="22" spans="1:4" ht="17.25" x14ac:dyDescent="0.3">
      <c r="A22" s="1">
        <v>2</v>
      </c>
      <c r="B22" s="18" t="s">
        <v>6</v>
      </c>
      <c r="C22" s="19">
        <f>FV($D$17,$A22*12,$D$15*-1)</f>
        <v>5445.5254595290435</v>
      </c>
      <c r="D22" s="20">
        <f>C22*rendimento_carteira</f>
        <v>32.673152757174265</v>
      </c>
    </row>
    <row r="23" spans="1:4" ht="17.25" x14ac:dyDescent="0.3">
      <c r="A23" s="1">
        <v>5</v>
      </c>
      <c r="B23" s="21" t="s">
        <v>7</v>
      </c>
      <c r="C23" s="22">
        <f>FV($D$17,$A23*12,$D$15*-1)</f>
        <v>16755.382799697527</v>
      </c>
      <c r="D23" s="23">
        <f>C23*rendimento_carteira</f>
        <v>100.53229679818516</v>
      </c>
    </row>
    <row r="24" spans="1:4" ht="17.25" x14ac:dyDescent="0.3">
      <c r="A24" s="1">
        <v>10</v>
      </c>
      <c r="B24" s="21" t="s">
        <v>33</v>
      </c>
      <c r="C24" s="22">
        <f>FV($D$17,$A24*12,$D$15*-1)</f>
        <v>48656.842506034438</v>
      </c>
      <c r="D24" s="23">
        <f>C24*rendimento_carteira</f>
        <v>291.94105503620665</v>
      </c>
    </row>
    <row r="25" spans="1:4" ht="17.25" x14ac:dyDescent="0.3">
      <c r="A25" s="1">
        <v>20</v>
      </c>
      <c r="B25" s="21" t="s">
        <v>34</v>
      </c>
      <c r="C25" s="22">
        <f>FV($D$17,$A25*12,$D$15*-1)</f>
        <v>225039.68001941612</v>
      </c>
      <c r="D25" s="23">
        <f>C25*rendimento_carteira</f>
        <v>1350.2380801164968</v>
      </c>
    </row>
    <row r="26" spans="1:4" ht="18" thickBot="1" x14ac:dyDescent="0.35">
      <c r="A26" s="1">
        <v>30</v>
      </c>
      <c r="B26" s="24" t="s">
        <v>35</v>
      </c>
      <c r="C26" s="25">
        <f>FV($D$17,$A26*12,$D$15*-1)</f>
        <v>864433.93100094295</v>
      </c>
      <c r="D26" s="26">
        <f>C26*rendimento_carteira</f>
        <v>5186.6035860056581</v>
      </c>
    </row>
    <row r="28" spans="1:4" ht="14.25" customHeight="1" thickBot="1" x14ac:dyDescent="0.3"/>
    <row r="29" spans="1:4" ht="23.25" customHeight="1" x14ac:dyDescent="0.25">
      <c r="B29" s="63" t="s">
        <v>13</v>
      </c>
      <c r="C29" s="64" t="s">
        <v>30</v>
      </c>
      <c r="D29" s="65"/>
    </row>
    <row r="30" spans="1:4" x14ac:dyDescent="0.25">
      <c r="B30" s="66" t="s">
        <v>15</v>
      </c>
      <c r="C30" s="67">
        <f>aporte</f>
        <v>200</v>
      </c>
      <c r="D30" s="68"/>
    </row>
    <row r="31" spans="1:4" x14ac:dyDescent="0.25">
      <c r="B31" s="54"/>
      <c r="C31" s="3"/>
      <c r="D31" s="69"/>
    </row>
    <row r="32" spans="1:4" x14ac:dyDescent="0.25">
      <c r="B32" s="70" t="s">
        <v>24</v>
      </c>
      <c r="C32" s="71" t="s">
        <v>23</v>
      </c>
      <c r="D32" s="72" t="s">
        <v>22</v>
      </c>
    </row>
    <row r="33" spans="2:4" x14ac:dyDescent="0.25">
      <c r="B33" s="73" t="s">
        <v>16</v>
      </c>
      <c r="C33" s="7">
        <f>VLOOKUP($C$29&amp;"-"&amp;B33,tbl_apoio!$A:$D,4,FALSE)</f>
        <v>0.4</v>
      </c>
      <c r="D33" s="74">
        <f>C33*$C$30</f>
        <v>80</v>
      </c>
    </row>
    <row r="34" spans="2:4" x14ac:dyDescent="0.25">
      <c r="B34" s="73" t="s">
        <v>17</v>
      </c>
      <c r="C34" s="7">
        <f>VLOOKUP($C$29&amp;"-"&amp;B34,tbl_apoio!$A:$D,4,FALSE)</f>
        <v>0.3</v>
      </c>
      <c r="D34" s="74">
        <f t="shared" ref="D34:D38" si="0">C34*$C$30</f>
        <v>60</v>
      </c>
    </row>
    <row r="35" spans="2:4" x14ac:dyDescent="0.25">
      <c r="B35" s="73" t="s">
        <v>18</v>
      </c>
      <c r="C35" s="7">
        <f>VLOOKUP($C$29&amp;"-"&amp;B35,tbl_apoio!$A:$D,4,FALSE)</f>
        <v>0.1</v>
      </c>
      <c r="D35" s="74">
        <f t="shared" si="0"/>
        <v>20</v>
      </c>
    </row>
    <row r="36" spans="2:4" x14ac:dyDescent="0.25">
      <c r="B36" s="73" t="s">
        <v>19</v>
      </c>
      <c r="C36" s="7">
        <f>VLOOKUP($C$29&amp;"-"&amp;B36,tbl_apoio!$A:$D,4,FALSE)</f>
        <v>0.08</v>
      </c>
      <c r="D36" s="74">
        <f t="shared" si="0"/>
        <v>16</v>
      </c>
    </row>
    <row r="37" spans="2:4" x14ac:dyDescent="0.25">
      <c r="B37" s="73" t="s">
        <v>20</v>
      </c>
      <c r="C37" s="7">
        <f>VLOOKUP($C$29&amp;"-"&amp;B37,tbl_apoio!$A:$D,4,FALSE)</f>
        <v>7.0000000000000007E-2</v>
      </c>
      <c r="D37" s="74">
        <f t="shared" si="0"/>
        <v>14.000000000000002</v>
      </c>
    </row>
    <row r="38" spans="2:4" x14ac:dyDescent="0.25">
      <c r="B38" s="73" t="s">
        <v>21</v>
      </c>
      <c r="C38" s="7">
        <f>VLOOKUP($C$29&amp;"-"&amp;B38,tbl_apoio!$A:$D,4,FALSE)</f>
        <v>0.05</v>
      </c>
      <c r="D38" s="74">
        <f t="shared" si="0"/>
        <v>10</v>
      </c>
    </row>
    <row r="39" spans="2:4" ht="15.75" thickBot="1" x14ac:dyDescent="0.3">
      <c r="B39" s="75" t="s">
        <v>26</v>
      </c>
      <c r="C39" s="77">
        <f>SUM(C33:C38)</f>
        <v>1</v>
      </c>
      <c r="D39" s="76">
        <f>SUM(D33:D38)</f>
        <v>200</v>
      </c>
    </row>
  </sheetData>
  <mergeCells count="11">
    <mergeCell ref="B9:D9"/>
    <mergeCell ref="B15:C15"/>
    <mergeCell ref="B16:C16"/>
    <mergeCell ref="B17:C17"/>
    <mergeCell ref="B18:C18"/>
    <mergeCell ref="B21:C21"/>
    <mergeCell ref="B19:C19"/>
    <mergeCell ref="B10:C10"/>
    <mergeCell ref="B11:C11"/>
    <mergeCell ref="B12:C12"/>
    <mergeCell ref="B14:D14"/>
  </mergeCells>
  <dataValidations count="1">
    <dataValidation type="list" allowBlank="1" showInputMessage="1" showErrorMessage="1" sqref="C29" xr:uid="{8FD1717E-B238-4A76-9199-937FE561861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4062-E6AB-42BF-959D-F375DD1C3C18}">
  <dimension ref="A1:H20"/>
  <sheetViews>
    <sheetView workbookViewId="0">
      <selection activeCell="D21" sqref="D21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1" spans="1:8" ht="15.75" thickBot="1" x14ac:dyDescent="0.3"/>
    <row r="2" spans="1:8" x14ac:dyDescent="0.25">
      <c r="A2" s="51" t="s">
        <v>29</v>
      </c>
      <c r="B2" s="52" t="s">
        <v>13</v>
      </c>
      <c r="C2" s="52" t="s">
        <v>27</v>
      </c>
      <c r="D2" s="53" t="s">
        <v>28</v>
      </c>
    </row>
    <row r="3" spans="1:8" x14ac:dyDescent="0.25">
      <c r="A3" s="54" t="str">
        <f>B3&amp;"-"&amp;C3</f>
        <v>Conservador-PAPEL</v>
      </c>
      <c r="B3" s="6" t="s">
        <v>25</v>
      </c>
      <c r="C3" s="6" t="s">
        <v>16</v>
      </c>
      <c r="D3" s="55">
        <v>0.35</v>
      </c>
      <c r="H3" s="2" t="s">
        <v>28</v>
      </c>
    </row>
    <row r="4" spans="1:8" x14ac:dyDescent="0.25">
      <c r="A4" s="54" t="str">
        <f t="shared" ref="A4:A20" si="0">B4&amp;"-"&amp;C4</f>
        <v>Conservador-TIJOLO</v>
      </c>
      <c r="B4" s="6" t="s">
        <v>25</v>
      </c>
      <c r="C4" s="6" t="s">
        <v>17</v>
      </c>
      <c r="D4" s="55">
        <v>0.4</v>
      </c>
      <c r="G4" s="28" t="s">
        <v>31</v>
      </c>
      <c r="H4" s="30">
        <f>VLOOKUP(G4,$A:$D,4,FALSE)</f>
        <v>0.45</v>
      </c>
    </row>
    <row r="5" spans="1:8" x14ac:dyDescent="0.25">
      <c r="A5" s="54" t="str">
        <f t="shared" si="0"/>
        <v>Conservador-HÍBRIDOS</v>
      </c>
      <c r="B5" s="6" t="s">
        <v>25</v>
      </c>
      <c r="C5" s="6" t="s">
        <v>18</v>
      </c>
      <c r="D5" s="55">
        <v>0.15</v>
      </c>
      <c r="H5" s="29"/>
    </row>
    <row r="6" spans="1:8" x14ac:dyDescent="0.25">
      <c r="A6" s="54" t="str">
        <f t="shared" si="0"/>
        <v>Conservador-FOFs</v>
      </c>
      <c r="B6" s="6" t="s">
        <v>25</v>
      </c>
      <c r="C6" s="6" t="s">
        <v>19</v>
      </c>
      <c r="D6" s="55">
        <v>0.1</v>
      </c>
      <c r="H6" s="29"/>
    </row>
    <row r="7" spans="1:8" x14ac:dyDescent="0.25">
      <c r="A7" s="54" t="str">
        <f t="shared" si="0"/>
        <v>Conservador-DESENVOLVIMENTO</v>
      </c>
      <c r="B7" s="6" t="s">
        <v>25</v>
      </c>
      <c r="C7" s="6" t="s">
        <v>20</v>
      </c>
      <c r="D7" s="55">
        <v>0</v>
      </c>
      <c r="H7" s="29"/>
    </row>
    <row r="8" spans="1:8" x14ac:dyDescent="0.25">
      <c r="A8" s="56" t="str">
        <f t="shared" si="0"/>
        <v>Conservador-HOTELARIAS</v>
      </c>
      <c r="B8" s="5" t="s">
        <v>25</v>
      </c>
      <c r="C8" s="5" t="s">
        <v>21</v>
      </c>
      <c r="D8" s="57">
        <v>0</v>
      </c>
    </row>
    <row r="9" spans="1:8" x14ac:dyDescent="0.25">
      <c r="A9" s="54" t="str">
        <f>B9&amp;"-"&amp;C9</f>
        <v>Moderado-PAPEL</v>
      </c>
      <c r="B9" s="8" t="s">
        <v>14</v>
      </c>
      <c r="C9" s="9" t="s">
        <v>16</v>
      </c>
      <c r="D9" s="58">
        <v>0.3</v>
      </c>
    </row>
    <row r="10" spans="1:8" x14ac:dyDescent="0.25">
      <c r="A10" s="54" t="str">
        <f t="shared" si="0"/>
        <v>Moderado-TIJOLO</v>
      </c>
      <c r="B10" s="3" t="s">
        <v>14</v>
      </c>
      <c r="C10" s="6" t="s">
        <v>17</v>
      </c>
      <c r="D10" s="55">
        <v>0.45</v>
      </c>
    </row>
    <row r="11" spans="1:8" x14ac:dyDescent="0.25">
      <c r="A11" s="54" t="str">
        <f>B11&amp;"-"&amp;C11</f>
        <v>Moderado-HÍBRIDOS</v>
      </c>
      <c r="B11" s="3" t="s">
        <v>14</v>
      </c>
      <c r="C11" s="6" t="s">
        <v>18</v>
      </c>
      <c r="D11" s="55">
        <v>0.05</v>
      </c>
    </row>
    <row r="12" spans="1:8" x14ac:dyDescent="0.25">
      <c r="A12" s="54" t="str">
        <f t="shared" si="0"/>
        <v>Moderado-FOFs</v>
      </c>
      <c r="B12" s="3" t="s">
        <v>14</v>
      </c>
      <c r="C12" s="6" t="s">
        <v>19</v>
      </c>
      <c r="D12" s="55">
        <v>0.1</v>
      </c>
    </row>
    <row r="13" spans="1:8" x14ac:dyDescent="0.25">
      <c r="A13" s="54" t="str">
        <f t="shared" si="0"/>
        <v>Moderado-DESENVOLVIMENTO</v>
      </c>
      <c r="B13" s="3" t="s">
        <v>14</v>
      </c>
      <c r="C13" s="6" t="s">
        <v>20</v>
      </c>
      <c r="D13" s="55">
        <v>0.05</v>
      </c>
    </row>
    <row r="14" spans="1:8" x14ac:dyDescent="0.25">
      <c r="A14" s="56" t="str">
        <f t="shared" si="0"/>
        <v>Moderado-HOTELARIAS</v>
      </c>
      <c r="B14" s="4" t="s">
        <v>14</v>
      </c>
      <c r="C14" s="5" t="s">
        <v>21</v>
      </c>
      <c r="D14" s="57">
        <v>0.05</v>
      </c>
    </row>
    <row r="15" spans="1:8" x14ac:dyDescent="0.25">
      <c r="A15" s="54" t="str">
        <f t="shared" si="0"/>
        <v>Agressivo-PAPEL</v>
      </c>
      <c r="B15" s="3" t="s">
        <v>30</v>
      </c>
      <c r="C15" s="6" t="s">
        <v>16</v>
      </c>
      <c r="D15" s="55">
        <v>0.4</v>
      </c>
    </row>
    <row r="16" spans="1:8" x14ac:dyDescent="0.25">
      <c r="A16" s="54" t="str">
        <f t="shared" si="0"/>
        <v>Agressivo-TIJOLO</v>
      </c>
      <c r="B16" s="3" t="s">
        <v>30</v>
      </c>
      <c r="C16" s="6" t="s">
        <v>17</v>
      </c>
      <c r="D16" s="55">
        <v>0.3</v>
      </c>
    </row>
    <row r="17" spans="1:4" x14ac:dyDescent="0.25">
      <c r="A17" s="54" t="str">
        <f t="shared" si="0"/>
        <v>Agressivo-HÍBRIDOS</v>
      </c>
      <c r="B17" s="3" t="s">
        <v>30</v>
      </c>
      <c r="C17" s="6" t="s">
        <v>18</v>
      </c>
      <c r="D17" s="55">
        <v>0.1</v>
      </c>
    </row>
    <row r="18" spans="1:4" x14ac:dyDescent="0.25">
      <c r="A18" s="54" t="str">
        <f t="shared" si="0"/>
        <v>Agressivo-FOFs</v>
      </c>
      <c r="B18" s="3" t="s">
        <v>30</v>
      </c>
      <c r="C18" s="6" t="s">
        <v>19</v>
      </c>
      <c r="D18" s="55">
        <v>0.08</v>
      </c>
    </row>
    <row r="19" spans="1:4" x14ac:dyDescent="0.25">
      <c r="A19" s="54" t="str">
        <f t="shared" si="0"/>
        <v>Agressivo-DESENVOLVIMENTO</v>
      </c>
      <c r="B19" s="3" t="s">
        <v>30</v>
      </c>
      <c r="C19" s="6" t="s">
        <v>20</v>
      </c>
      <c r="D19" s="55">
        <v>7.0000000000000007E-2</v>
      </c>
    </row>
    <row r="20" spans="1:4" ht="15.75" thickBot="1" x14ac:dyDescent="0.3">
      <c r="A20" s="59" t="str">
        <f t="shared" si="0"/>
        <v>Agressivo-HOTELARIAS</v>
      </c>
      <c r="B20" s="60" t="s">
        <v>30</v>
      </c>
      <c r="C20" s="61" t="s">
        <v>21</v>
      </c>
      <c r="D20" s="62">
        <v>0.05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DIO_Calc_Invest</vt:lpstr>
      <vt:lpstr>tbl_apoio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 Abreu</dc:creator>
  <cp:lastModifiedBy>Jacque Abreu</cp:lastModifiedBy>
  <dcterms:created xsi:type="dcterms:W3CDTF">2026-10-14T20:26:53Z</dcterms:created>
  <dcterms:modified xsi:type="dcterms:W3CDTF">2026-10-16T19:31:32Z</dcterms:modified>
</cp:coreProperties>
</file>